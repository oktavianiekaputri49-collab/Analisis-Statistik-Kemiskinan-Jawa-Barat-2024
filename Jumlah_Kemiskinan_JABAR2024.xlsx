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F06F305A-ACB3-4400-831A-E84B87494B44}" xr6:coauthVersionLast="47" xr6:coauthVersionMax="47" xr10:uidLastSave="{00000000-0000-0000-0000-000000000000}"/>
  <bookViews>
    <workbookView xWindow="-110" yWindow="-110" windowWidth="19420" windowHeight="10300" xr2:uid="{C13832D4-DE0C-43D2-92E6-BC846DA2F2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E4" i="1"/>
  <c r="D4" i="1"/>
  <c r="D34" i="1"/>
  <c r="D36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2" i="1" l="1"/>
  <c r="G4" i="1" s="1"/>
  <c r="D31" i="1"/>
  <c r="F30" i="1"/>
  <c r="G30" i="1" s="1"/>
  <c r="E30" i="1"/>
  <c r="F29" i="1"/>
  <c r="G29" i="1" s="1"/>
  <c r="E29" i="1"/>
  <c r="F28" i="1"/>
  <c r="G28" i="1" s="1"/>
  <c r="E28" i="1"/>
  <c r="F27" i="1"/>
  <c r="G27" i="1" s="1"/>
  <c r="E27" i="1"/>
  <c r="F26" i="1"/>
  <c r="G26" i="1" s="1"/>
  <c r="E26" i="1"/>
  <c r="F25" i="1"/>
  <c r="G25" i="1" s="1"/>
  <c r="E25" i="1"/>
  <c r="F24" i="1"/>
  <c r="G24" i="1" s="1"/>
  <c r="E24" i="1"/>
  <c r="F23" i="1"/>
  <c r="G23" i="1" s="1"/>
  <c r="E23" i="1"/>
  <c r="F22" i="1"/>
  <c r="G22" i="1" s="1"/>
  <c r="E22" i="1"/>
  <c r="F21" i="1"/>
  <c r="G21" i="1" s="1"/>
  <c r="E21" i="1"/>
  <c r="F20" i="1"/>
  <c r="G20" i="1" s="1"/>
  <c r="E20" i="1"/>
  <c r="F19" i="1"/>
  <c r="G19" i="1" s="1"/>
  <c r="E19" i="1"/>
  <c r="F18" i="1"/>
  <c r="G18" i="1" s="1"/>
  <c r="E18" i="1"/>
  <c r="F17" i="1"/>
  <c r="G17" i="1" s="1"/>
  <c r="E17" i="1"/>
  <c r="F16" i="1"/>
  <c r="G16" i="1" s="1"/>
  <c r="E16" i="1"/>
  <c r="F15" i="1"/>
  <c r="G15" i="1" s="1"/>
  <c r="E15" i="1"/>
  <c r="F14" i="1"/>
  <c r="G14" i="1" s="1"/>
  <c r="E14" i="1"/>
  <c r="F13" i="1"/>
  <c r="G13" i="1" s="1"/>
  <c r="E13" i="1"/>
  <c r="F12" i="1"/>
  <c r="G12" i="1" s="1"/>
  <c r="E12" i="1"/>
  <c r="F11" i="1"/>
  <c r="G11" i="1" s="1"/>
  <c r="E11" i="1"/>
  <c r="F10" i="1"/>
  <c r="G10" i="1" s="1"/>
  <c r="E10" i="1"/>
  <c r="F9" i="1"/>
  <c r="G9" i="1" s="1"/>
  <c r="E9" i="1"/>
  <c r="F8" i="1"/>
  <c r="G8" i="1" s="1"/>
  <c r="E8" i="1"/>
  <c r="F7" i="1"/>
  <c r="G7" i="1" s="1"/>
  <c r="E7" i="1"/>
  <c r="F6" i="1"/>
  <c r="G6" i="1" s="1"/>
  <c r="E6" i="1"/>
  <c r="F5" i="1"/>
  <c r="G5" i="1" s="1"/>
  <c r="E5" i="1"/>
  <c r="D33" i="1" l="1"/>
  <c r="D37" i="1" s="1"/>
  <c r="D35" i="1"/>
</calcChain>
</file>

<file path=xl/sharedStrings.xml><?xml version="1.0" encoding="utf-8"?>
<sst xmlns="http://schemas.openxmlformats.org/spreadsheetml/2006/main" count="42" uniqueCount="35">
  <si>
    <t>Kabupaten/
Kota</t>
  </si>
  <si>
    <t>Jumlah
 Penduduk (Jiwa)</t>
  </si>
  <si>
    <t>Persentase 
Kemiskinan</t>
  </si>
  <si>
    <t>Kemiskinan 
(Ribuan)</t>
  </si>
  <si>
    <t>Proporsi</t>
  </si>
  <si>
    <t>xi-xbar</t>
  </si>
  <si>
    <t>(xi-xbar)^2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</si>
  <si>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</si>
  <si>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</si>
  <si>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</si>
  <si>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</si>
  <si>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</si>
  <si>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</si>
  <si>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</si>
  <si>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</si>
  <si>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</si>
  <si>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</si>
  <si>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</si>
  <si>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</si>
  <si>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</si>
  <si>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</si>
  <si>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</si>
  <si>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</si>
  <si>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</si>
  <si>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</si>
  <si>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Depok</t>
  </si>
  <si>
    <t>Cimahi</t>
  </si>
  <si>
    <t>Banjar</t>
  </si>
  <si>
    <t>Total</t>
  </si>
  <si>
    <t>Rata-rata</t>
  </si>
  <si>
    <t>Total Proporsi</t>
  </si>
  <si>
    <t>Total S^2</t>
  </si>
  <si>
    <t>S^2</t>
  </si>
  <si>
    <t>q</t>
  </si>
  <si>
    <t>Jumlah Kemiskinan di Jawa Barat Tahun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</si>
</sst>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164" fontId="3" fillId="0" borderId="0" xfId="1" applyNumberFormat="1" applyFont="1"/>
    <xf numFmtId="2" fontId="3" fillId="0" borderId="0" xfId="0" applyNumberFormat="1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2" fontId="2" fillId="0" borderId="0" xfId="0" applyNumberFormat="1" applyFont="1"/>
    <xf numFmtId="43" fontId="2" fillId="0" borderId="0" xfId="1" applyFont="1"/>
    <xf numFmtId="43" fontId="2" fillId="0" borderId="0" xfId="0" applyNumberFormat="1" applyFont="1"/>
    <xf numFmtId="43" fontId="3" fillId="0" borderId="1" xfId="1" applyFont="1" applyBorder="1"/>
    <xf numFmtId="43" fontId="3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7A835-2BAC-490A-A4D0-8C43D1A46513}">
  <dimension ref="A1:G37"/>
  <sheetViews>
    <sheetView tabSelected="1" workbookViewId="0">
      <selection activeCell="F5" sqref="F5"/>
    </sheetView>
  </sheetViews>
  <sheetFormatPr defaultRowHeight="15.5" x14ac:dyDescent="0.35"/>
  <cols>
    <col min="1" max="1" width="14.08984375" style="4" bestFit="1" customWidth="1"/>
    <col min="2" max="2" width="17.81640625" style="4" customWidth="1"/>
    <col min="3" max="3" width="14.54296875" style="4" bestFit="1" customWidth="1"/>
    <col min="4" max="4" width="12.7265625" style="4" customWidth="1"/>
    <col min="5" max="5" width="10.453125" style="4" customWidth="1"/>
    <col min="6" max="6" width="8.54296875" style="4" customWidth="1"/>
    <col min="7" max="7" width="11.36328125" style="4" customWidth="1"/>
    <col min="8" max="16384" width="8.7265625" style="4"/>
  </cols>
  <sheetData>
    <row r="1" spans="1:7" x14ac:dyDescent="0.35">
      <c r="A1" s="1" t="s">
        <v>34</v>
      </c>
      <c r="B1" s="2"/>
      <c r="C1" s="3"/>
    </row>
    <row r="2" spans="1:7" x14ac:dyDescent="0.35">
      <c r="B2" s="2"/>
      <c r="C2" s="3"/>
    </row>
    <row r="3" spans="1:7" ht="30" x14ac:dyDescent="0.35">
      <c r="A3" s="5" t="s">
        <v>0</v>
      </c>
      <c r="B3" s="6" t="s">
        <v>1</v>
      </c>
      <c r="C3" s="7" t="s">
        <v>2</v>
      </c>
      <c r="D3" s="8" t="s">
        <v>3</v>
      </c>
      <c r="E3" s="9" t="s">
        <v>4</v>
      </c>
      <c r="F3" s="10" t="s">
        <v>5</v>
      </c>
      <c r="G3" s="10" t="s">
        <v>6</v>
      </c>
    </row>
    <row r="4" spans="1:7" x14ac:dyDescent="0.35">
      <c r="A4" s="11" t="s">
        <v>7</v>
      </c>
      <c r="B4" s="11">
        <v>446.79</v>
      </c>
      <c r="C4" s="11">
        <v>7.05</v>
      </c>
      <c r="D4" s="15">
        <f>C4*B4/100</f>
        <v>31.498695000000001</v>
      </c>
      <c r="E4" s="16">
        <f>D4/B4</f>
        <v>7.0499999999999993E-2</v>
      </c>
      <c r="F4" s="16">
        <f>D4-$D$32</f>
        <v>19.495129629629631</v>
      </c>
      <c r="G4" s="15">
        <f>F4^2</f>
        <v>380.06007927606316</v>
      </c>
    </row>
    <row r="5" spans="1:7" x14ac:dyDescent="0.35">
      <c r="A5" s="11" t="s">
        <v>8</v>
      </c>
      <c r="B5" s="11">
        <v>175.93</v>
      </c>
      <c r="C5" s="11">
        <v>6.87</v>
      </c>
      <c r="D5" s="15">
        <f t="shared" ref="D5:D30" si="0">C5*B5/100</f>
        <v>12.086391000000001</v>
      </c>
      <c r="E5" s="16">
        <f t="shared" ref="E5:E30" si="1">D5/B5</f>
        <v>6.8699999999999997E-2</v>
      </c>
      <c r="F5" s="16">
        <f t="shared" ref="F5:F30" si="2">D5-$D$32</f>
        <v>8.2825629629629915E-2</v>
      </c>
      <c r="G5" s="15">
        <f t="shared" ref="G5:G30" si="3">F5^2</f>
        <v>6.8600849235446286E-3</v>
      </c>
    </row>
    <row r="6" spans="1:7" x14ac:dyDescent="0.35">
      <c r="A6" s="11" t="s">
        <v>9</v>
      </c>
      <c r="B6" s="11">
        <v>239.3</v>
      </c>
      <c r="C6" s="11">
        <v>10.14</v>
      </c>
      <c r="D6" s="15">
        <f t="shared" si="0"/>
        <v>24.265020000000003</v>
      </c>
      <c r="E6" s="16">
        <f t="shared" si="1"/>
        <v>0.1014</v>
      </c>
      <c r="F6" s="16">
        <f t="shared" si="2"/>
        <v>12.261454629629633</v>
      </c>
      <c r="G6" s="15">
        <f t="shared" si="3"/>
        <v>150.34326963446594</v>
      </c>
    </row>
    <row r="7" spans="1:7" x14ac:dyDescent="0.35">
      <c r="A7" s="11" t="s">
        <v>10</v>
      </c>
      <c r="B7" s="11">
        <v>239.87</v>
      </c>
      <c r="C7" s="11">
        <v>6.19</v>
      </c>
      <c r="D7" s="15">
        <f t="shared" si="0"/>
        <v>14.847953000000002</v>
      </c>
      <c r="E7" s="16">
        <f t="shared" si="1"/>
        <v>6.1900000000000011E-2</v>
      </c>
      <c r="F7" s="16">
        <f t="shared" si="2"/>
        <v>2.8443876296296313</v>
      </c>
      <c r="G7" s="15">
        <f t="shared" si="3"/>
        <v>8.0905409875900727</v>
      </c>
    </row>
    <row r="8" spans="1:7" x14ac:dyDescent="0.35">
      <c r="A8" s="11" t="s">
        <v>11</v>
      </c>
      <c r="B8" s="11">
        <v>259.32</v>
      </c>
      <c r="C8" s="11">
        <v>9.68</v>
      </c>
      <c r="D8" s="15">
        <f t="shared" si="0"/>
        <v>25.102176</v>
      </c>
      <c r="E8" s="16">
        <f t="shared" si="1"/>
        <v>9.6799999999999997E-2</v>
      </c>
      <c r="F8" s="16">
        <f t="shared" si="2"/>
        <v>13.098610629629629</v>
      </c>
      <c r="G8" s="15">
        <f t="shared" si="3"/>
        <v>171.57360042664632</v>
      </c>
    </row>
    <row r="9" spans="1:7" x14ac:dyDescent="0.35">
      <c r="A9" s="11" t="s">
        <v>12</v>
      </c>
      <c r="B9" s="11">
        <v>186.75</v>
      </c>
      <c r="C9" s="11">
        <v>10.23</v>
      </c>
      <c r="D9" s="15">
        <f t="shared" si="0"/>
        <v>19.104525000000002</v>
      </c>
      <c r="E9" s="16">
        <f t="shared" si="1"/>
        <v>0.10230000000000002</v>
      </c>
      <c r="F9" s="16">
        <f t="shared" si="2"/>
        <v>7.1009596296296316</v>
      </c>
      <c r="G9" s="15">
        <f t="shared" si="3"/>
        <v>50.423627661629794</v>
      </c>
    </row>
    <row r="10" spans="1:7" x14ac:dyDescent="0.35">
      <c r="A10" s="11" t="s">
        <v>13</v>
      </c>
      <c r="B10" s="11">
        <v>90.79</v>
      </c>
      <c r="C10" s="11">
        <v>7.39</v>
      </c>
      <c r="D10" s="15">
        <f t="shared" si="0"/>
        <v>6.7093809999999996</v>
      </c>
      <c r="E10" s="16">
        <f t="shared" si="1"/>
        <v>7.3899999999999993E-2</v>
      </c>
      <c r="F10" s="16">
        <f t="shared" si="2"/>
        <v>-5.2941843703703713</v>
      </c>
      <c r="G10" s="15">
        <f t="shared" si="3"/>
        <v>28.028388147473926</v>
      </c>
    </row>
    <row r="11" spans="1:7" x14ac:dyDescent="0.35">
      <c r="A11" s="11" t="s">
        <v>14</v>
      </c>
      <c r="B11" s="11">
        <v>131.83000000000001</v>
      </c>
      <c r="C11" s="11">
        <v>11.88</v>
      </c>
      <c r="D11" s="15">
        <f t="shared" si="0"/>
        <v>15.661404000000003</v>
      </c>
      <c r="E11" s="16">
        <f t="shared" si="1"/>
        <v>0.1188</v>
      </c>
      <c r="F11" s="16">
        <f t="shared" si="2"/>
        <v>3.6578386296296319</v>
      </c>
      <c r="G11" s="15">
        <f t="shared" si="3"/>
        <v>13.379783440410783</v>
      </c>
    </row>
    <row r="12" spans="1:7" x14ac:dyDescent="0.35">
      <c r="A12" s="11" t="s">
        <v>15</v>
      </c>
      <c r="B12" s="11">
        <v>245.92</v>
      </c>
      <c r="C12" s="11">
        <v>11</v>
      </c>
      <c r="D12" s="15">
        <f t="shared" si="0"/>
        <v>27.051199999999998</v>
      </c>
      <c r="E12" s="16">
        <f t="shared" si="1"/>
        <v>0.11</v>
      </c>
      <c r="F12" s="16">
        <f t="shared" si="2"/>
        <v>15.047634629629627</v>
      </c>
      <c r="G12" s="15">
        <f t="shared" si="3"/>
        <v>226.43130794682875</v>
      </c>
    </row>
    <row r="13" spans="1:7" x14ac:dyDescent="0.35">
      <c r="A13" s="11" t="s">
        <v>16</v>
      </c>
      <c r="B13" s="11">
        <v>134.58000000000001</v>
      </c>
      <c r="C13" s="11">
        <v>10.82</v>
      </c>
      <c r="D13" s="15">
        <f t="shared" si="0"/>
        <v>14.561556000000003</v>
      </c>
      <c r="E13" s="16">
        <f t="shared" si="1"/>
        <v>0.10820000000000002</v>
      </c>
      <c r="F13" s="16">
        <f t="shared" si="2"/>
        <v>2.5579906296296322</v>
      </c>
      <c r="G13" s="15">
        <f t="shared" si="3"/>
        <v>6.5433160612730026</v>
      </c>
    </row>
    <row r="14" spans="1:7" x14ac:dyDescent="0.35">
      <c r="A14" s="11" t="s">
        <v>17</v>
      </c>
      <c r="B14" s="11">
        <v>108.89</v>
      </c>
      <c r="C14" s="11">
        <v>9.1</v>
      </c>
      <c r="D14" s="15">
        <f t="shared" si="0"/>
        <v>9.9089899999999993</v>
      </c>
      <c r="E14" s="16">
        <f t="shared" si="1"/>
        <v>9.0999999999999998E-2</v>
      </c>
      <c r="F14" s="16">
        <f t="shared" si="2"/>
        <v>-2.0945753703703716</v>
      </c>
      <c r="G14" s="15">
        <f t="shared" si="3"/>
        <v>4.3872459821621792</v>
      </c>
    </row>
    <row r="15" spans="1:7" x14ac:dyDescent="0.35">
      <c r="A15" s="11" t="s">
        <v>18</v>
      </c>
      <c r="B15" s="11">
        <v>212.14</v>
      </c>
      <c r="C15" s="11">
        <v>11.93</v>
      </c>
      <c r="D15" s="15">
        <f t="shared" si="0"/>
        <v>25.308301999999998</v>
      </c>
      <c r="E15" s="16">
        <f t="shared" si="1"/>
        <v>0.1193</v>
      </c>
      <c r="F15" s="16">
        <f t="shared" si="2"/>
        <v>13.304736629629627</v>
      </c>
      <c r="G15" s="15">
        <f t="shared" si="3"/>
        <v>177.01601678380831</v>
      </c>
    </row>
    <row r="16" spans="1:7" x14ac:dyDescent="0.35">
      <c r="A16" s="11" t="s">
        <v>19</v>
      </c>
      <c r="B16" s="11">
        <v>152.56</v>
      </c>
      <c r="C16" s="11">
        <v>9.49</v>
      </c>
      <c r="D16" s="15">
        <f t="shared" si="0"/>
        <v>14.477944000000001</v>
      </c>
      <c r="E16" s="16">
        <f t="shared" si="1"/>
        <v>9.4899999999999998E-2</v>
      </c>
      <c r="F16" s="16">
        <f t="shared" si="2"/>
        <v>2.47437862962963</v>
      </c>
      <c r="G16" s="15">
        <f t="shared" si="3"/>
        <v>6.1225496027678057</v>
      </c>
    </row>
    <row r="17" spans="1:7" x14ac:dyDescent="0.35">
      <c r="A17" s="11" t="s">
        <v>20</v>
      </c>
      <c r="B17" s="11">
        <v>81.44</v>
      </c>
      <c r="C17" s="11">
        <v>8.41</v>
      </c>
      <c r="D17" s="15">
        <f t="shared" si="0"/>
        <v>6.8491039999999996</v>
      </c>
      <c r="E17" s="16">
        <f t="shared" si="1"/>
        <v>8.4099999999999994E-2</v>
      </c>
      <c r="F17" s="16">
        <f t="shared" si="2"/>
        <v>-5.1544613703703712</v>
      </c>
      <c r="G17" s="15">
        <f t="shared" si="3"/>
        <v>26.568472018640406</v>
      </c>
    </row>
    <row r="18" spans="1:7" x14ac:dyDescent="0.35">
      <c r="A18" s="11" t="s">
        <v>21</v>
      </c>
      <c r="B18" s="11">
        <v>187.77</v>
      </c>
      <c r="C18" s="11">
        <v>7.86</v>
      </c>
      <c r="D18" s="15">
        <f t="shared" si="0"/>
        <v>14.758722000000002</v>
      </c>
      <c r="E18" s="16">
        <f t="shared" si="1"/>
        <v>7.8600000000000003E-2</v>
      </c>
      <c r="F18" s="16">
        <f t="shared" si="2"/>
        <v>2.7551566296296315</v>
      </c>
      <c r="G18" s="15">
        <f t="shared" si="3"/>
        <v>7.59088805379211</v>
      </c>
    </row>
    <row r="19" spans="1:7" x14ac:dyDescent="0.35">
      <c r="A19" s="11" t="s">
        <v>22</v>
      </c>
      <c r="B19" s="11">
        <v>204.54</v>
      </c>
      <c r="C19" s="11">
        <v>4.8</v>
      </c>
      <c r="D19" s="15">
        <f t="shared" si="0"/>
        <v>9.8179199999999991</v>
      </c>
      <c r="E19" s="16">
        <f t="shared" si="1"/>
        <v>4.7999999999999994E-2</v>
      </c>
      <c r="F19" s="16">
        <f t="shared" si="2"/>
        <v>-2.1856453703703718</v>
      </c>
      <c r="G19" s="15">
        <f t="shared" si="3"/>
        <v>4.7770456850214398</v>
      </c>
    </row>
    <row r="20" spans="1:7" x14ac:dyDescent="0.35">
      <c r="A20" s="11" t="s">
        <v>23</v>
      </c>
      <c r="B20" s="11">
        <v>179.7</v>
      </c>
      <c r="C20" s="11">
        <v>10.49</v>
      </c>
      <c r="D20" s="15">
        <f t="shared" si="0"/>
        <v>18.850529999999999</v>
      </c>
      <c r="E20" s="16">
        <f t="shared" si="1"/>
        <v>0.10490000000000001</v>
      </c>
      <c r="F20" s="16">
        <f t="shared" si="2"/>
        <v>6.8469646296296283</v>
      </c>
      <c r="G20" s="15">
        <f t="shared" si="3"/>
        <v>46.88092463939919</v>
      </c>
    </row>
    <row r="21" spans="1:7" x14ac:dyDescent="0.35">
      <c r="A21" s="11" t="s">
        <v>24</v>
      </c>
      <c r="B21" s="11">
        <v>35.950000000000003</v>
      </c>
      <c r="C21" s="11">
        <v>8.75</v>
      </c>
      <c r="D21" s="15">
        <f t="shared" si="0"/>
        <v>3.1456249999999999</v>
      </c>
      <c r="E21" s="16">
        <f t="shared" si="1"/>
        <v>8.7499999999999994E-2</v>
      </c>
      <c r="F21" s="16">
        <f t="shared" si="2"/>
        <v>-8.8579403703703719</v>
      </c>
      <c r="G21" s="15">
        <f t="shared" si="3"/>
        <v>78.463107605037195</v>
      </c>
    </row>
    <row r="22" spans="1:7" x14ac:dyDescent="0.35">
      <c r="A22" s="11" t="s">
        <v>7</v>
      </c>
      <c r="B22" s="11">
        <v>73.930000000000007</v>
      </c>
      <c r="C22" s="11">
        <v>6.53</v>
      </c>
      <c r="D22" s="15">
        <f t="shared" si="0"/>
        <v>4.8276290000000008</v>
      </c>
      <c r="E22" s="16">
        <f t="shared" si="1"/>
        <v>6.5300000000000011E-2</v>
      </c>
      <c r="F22" s="16">
        <f t="shared" si="2"/>
        <v>-7.17593637037037</v>
      </c>
      <c r="G22" s="15">
        <f t="shared" si="3"/>
        <v>51.494062791604279</v>
      </c>
    </row>
    <row r="23" spans="1:7" x14ac:dyDescent="0.35">
      <c r="A23" s="11" t="s">
        <v>8</v>
      </c>
      <c r="B23" s="11">
        <v>24.1</v>
      </c>
      <c r="C23" s="11">
        <v>7.2</v>
      </c>
      <c r="D23" s="15">
        <f t="shared" si="0"/>
        <v>1.7352000000000001</v>
      </c>
      <c r="E23" s="16">
        <f t="shared" si="1"/>
        <v>7.1999999999999995E-2</v>
      </c>
      <c r="F23" s="16">
        <f t="shared" si="2"/>
        <v>-10.26836537037037</v>
      </c>
      <c r="G23" s="15">
        <f t="shared" si="3"/>
        <v>105.43932737942143</v>
      </c>
    </row>
    <row r="24" spans="1:7" x14ac:dyDescent="0.35">
      <c r="A24" s="11" t="s">
        <v>10</v>
      </c>
      <c r="B24" s="11">
        <v>101.1</v>
      </c>
      <c r="C24" s="11">
        <v>3.87</v>
      </c>
      <c r="D24" s="15">
        <f t="shared" si="0"/>
        <v>3.9125700000000001</v>
      </c>
      <c r="E24" s="16">
        <f t="shared" si="1"/>
        <v>3.8700000000000005E-2</v>
      </c>
      <c r="F24" s="16">
        <f t="shared" si="2"/>
        <v>-8.0909953703703703</v>
      </c>
      <c r="G24" s="15">
        <f t="shared" si="3"/>
        <v>65.464206083354767</v>
      </c>
    </row>
    <row r="25" spans="1:7" x14ac:dyDescent="0.35">
      <c r="A25" s="11" t="s">
        <v>15</v>
      </c>
      <c r="B25" s="11">
        <v>29.17</v>
      </c>
      <c r="C25" s="11">
        <v>9.02</v>
      </c>
      <c r="D25" s="15">
        <f t="shared" si="0"/>
        <v>2.6311340000000003</v>
      </c>
      <c r="E25" s="16">
        <f t="shared" si="1"/>
        <v>9.0200000000000002E-2</v>
      </c>
      <c r="F25" s="16">
        <f t="shared" si="2"/>
        <v>-9.3724313703703714</v>
      </c>
      <c r="G25" s="15">
        <f t="shared" si="3"/>
        <v>87.842469792302637</v>
      </c>
    </row>
    <row r="26" spans="1:7" x14ac:dyDescent="0.35">
      <c r="A26" s="11" t="s">
        <v>22</v>
      </c>
      <c r="B26" s="11">
        <v>128.84</v>
      </c>
      <c r="C26" s="11">
        <v>4.01</v>
      </c>
      <c r="D26" s="15">
        <f t="shared" si="0"/>
        <v>5.1664840000000005</v>
      </c>
      <c r="E26" s="16">
        <f t="shared" si="1"/>
        <v>4.0100000000000004E-2</v>
      </c>
      <c r="F26" s="16">
        <f t="shared" si="2"/>
        <v>-6.8370813703703703</v>
      </c>
      <c r="G26" s="15">
        <f t="shared" si="3"/>
        <v>46.745681665065582</v>
      </c>
    </row>
    <row r="27" spans="1:7" x14ac:dyDescent="0.35">
      <c r="A27" s="11" t="s">
        <v>25</v>
      </c>
      <c r="B27" s="11">
        <v>62.6</v>
      </c>
      <c r="C27" s="11">
        <v>2.34</v>
      </c>
      <c r="D27" s="15">
        <f t="shared" si="0"/>
        <v>1.4648399999999997</v>
      </c>
      <c r="E27" s="16">
        <f t="shared" si="1"/>
        <v>2.3399999999999994E-2</v>
      </c>
      <c r="F27" s="16">
        <f t="shared" si="2"/>
        <v>-10.538725370370372</v>
      </c>
      <c r="G27" s="15">
        <f t="shared" si="3"/>
        <v>111.06473243208814</v>
      </c>
    </row>
    <row r="28" spans="1:7" x14ac:dyDescent="0.35">
      <c r="A28" s="11" t="s">
        <v>26</v>
      </c>
      <c r="B28" s="11">
        <v>27</v>
      </c>
      <c r="C28" s="11">
        <v>4.3899999999999997</v>
      </c>
      <c r="D28" s="15">
        <f t="shared" si="0"/>
        <v>1.1852999999999998</v>
      </c>
      <c r="E28" s="16">
        <f t="shared" si="1"/>
        <v>4.3899999999999995E-2</v>
      </c>
      <c r="F28" s="16">
        <f t="shared" si="2"/>
        <v>-10.818265370370371</v>
      </c>
      <c r="G28" s="15">
        <f t="shared" si="3"/>
        <v>117.03486562375478</v>
      </c>
    </row>
    <row r="29" spans="1:7" x14ac:dyDescent="0.35">
      <c r="A29" s="11" t="s">
        <v>12</v>
      </c>
      <c r="B29" s="11">
        <v>76.709999999999994</v>
      </c>
      <c r="C29" s="11">
        <v>11.1</v>
      </c>
      <c r="D29" s="15">
        <f t="shared" si="0"/>
        <v>8.5148099999999989</v>
      </c>
      <c r="E29" s="16">
        <f t="shared" si="1"/>
        <v>0.11099999999999999</v>
      </c>
      <c r="F29" s="16">
        <f t="shared" si="2"/>
        <v>-3.488755370370372</v>
      </c>
      <c r="G29" s="15">
        <f t="shared" si="3"/>
        <v>12.171414034288111</v>
      </c>
    </row>
    <row r="30" spans="1:7" x14ac:dyDescent="0.35">
      <c r="A30" s="11" t="s">
        <v>27</v>
      </c>
      <c r="B30" s="11">
        <v>11.16</v>
      </c>
      <c r="C30" s="11">
        <v>5.85</v>
      </c>
      <c r="D30" s="15">
        <f t="shared" si="0"/>
        <v>0.65286</v>
      </c>
      <c r="E30" s="16">
        <f t="shared" si="1"/>
        <v>5.8499999999999996E-2</v>
      </c>
      <c r="F30" s="16">
        <f t="shared" si="2"/>
        <v>-11.35070537037037</v>
      </c>
      <c r="G30" s="15">
        <f t="shared" si="3"/>
        <v>128.83851240495477</v>
      </c>
    </row>
    <row r="31" spans="1:7" x14ac:dyDescent="0.35">
      <c r="C31" s="12" t="s">
        <v>28</v>
      </c>
      <c r="D31" s="13">
        <f>SUM(D4:D30)</f>
        <v>324.09626500000002</v>
      </c>
    </row>
    <row r="32" spans="1:7" x14ac:dyDescent="0.35">
      <c r="C32" s="12" t="s">
        <v>29</v>
      </c>
      <c r="D32" s="14">
        <f>AVERAGE(D4:D30)</f>
        <v>12.003565370370371</v>
      </c>
    </row>
    <row r="33" spans="3:4" x14ac:dyDescent="0.35">
      <c r="C33" s="12" t="s">
        <v>30</v>
      </c>
      <c r="D33" s="14">
        <f>SUM(E4:E30)</f>
        <v>2.1639000000000004</v>
      </c>
    </row>
    <row r="34" spans="3:4" x14ac:dyDescent="0.35">
      <c r="C34" s="12" t="s">
        <v>4</v>
      </c>
      <c r="D34" s="14">
        <f>D33/27</f>
        <v>8.0144444444444463E-2</v>
      </c>
    </row>
    <row r="35" spans="3:4" x14ac:dyDescent="0.35">
      <c r="C35" s="12" t="s">
        <v>31</v>
      </c>
      <c r="D35" s="13">
        <f>SUM(G4:G30)</f>
        <v>2112.7822962447681</v>
      </c>
    </row>
    <row r="36" spans="3:4" x14ac:dyDescent="0.35">
      <c r="C36" s="12" t="s">
        <v>32</v>
      </c>
      <c r="D36" s="14">
        <f>D35/26</f>
        <v>81.260857547875702</v>
      </c>
    </row>
    <row r="37" spans="3:4" x14ac:dyDescent="0.35">
      <c r="C37" s="12" t="s">
        <v>33</v>
      </c>
      <c r="D37" s="14">
        <f>1-D34</f>
        <v>0.91985555555555554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2026-05-27T03:57:33Z</dcterms:created>
  <dcterms:modified xsi:type="dcterms:W3CDTF">2026-05-27T06:03:21Z</dcterms:modified>
</cp:coreProperties>
</file>